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1904aec064a7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Как пользоваться" sheetId="1" ns1:id="R7cb7a55f97284468"/>
    <ns0:sheet name="Параметры" sheetId="2" ns1:id="Rd155319e04bd449b"/>
    <ns0:sheet name="LoRA" sheetId="3" ns1:id="R70a48830b82c420d"/>
    <ns0:sheet name="Память" sheetId="4" ns1:id="Rd41a41c7f9994dcb"/>
    <ns0:sheet name="Ответы" sheetId="5" ns1:id="Rc2309cf487114382"/>
  </ns0:sheets>
  <ns0:calcPr fullCalcOnLoad="1" forceFullCalc="1" calcMode="auto"/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f5faff3b144c3" /><Relationship Type="http://schemas.openxmlformats.org/officeDocument/2006/relationships/theme" Target="/xl/theme/theme1.xml" Id="R4ac14b1acdfb47e2" /><Relationship Type="http://schemas.openxmlformats.org/officeDocument/2006/relationships/sharedStrings" Target="/xl/sharedStrings.xml" Id="R16c6a435dded44c9" /><Relationship Type="http://schemas.openxmlformats.org/officeDocument/2006/relationships/worksheet" Target="/xl/worksheets/sheet1.xml" Id="R7cb7a55f97284468" /><Relationship Type="http://schemas.openxmlformats.org/officeDocument/2006/relationships/worksheet" Target="/xl/worksheets/sheet2.xml" Id="Rd155319e04bd449b" /><Relationship Type="http://schemas.openxmlformats.org/officeDocument/2006/relationships/worksheet" Target="/xl/worksheets/sheet3.xml" Id="R70a48830b82c420d" /><Relationship Type="http://schemas.openxmlformats.org/officeDocument/2006/relationships/worksheet" Target="/xl/worksheets/sheet4.xml" Id="Rd41a41c7f9994dcb" /><Relationship Type="http://schemas.openxmlformats.org/officeDocument/2006/relationships/worksheet" Target="/xl/worksheets/sheet5.xml" Id="Rc2309cf4871143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workbookViewId="0">
      <ns0:pane ySplit="4" topLeftCell="A5" activePane="bottomLeft" state="frozen"/>
    </ns0:sheetView>
  </ns0:sheetViews>
  <ns0:sheetFormatPr baseColWidth="8" defaultRowHeight="15"/>
  <ns0:cols>
    <ns0:col min="1" max="1" width="16" customWidth="1"/>
    <ns0:col min="2" max="2" width="8" customWidth="1"/>
    <ns0:col min="3" max="3" width="10" customWidth="1"/>
    <ns0:col min="4" max="4" width="12" customWidth="1"/>
    <ns0:col min="5" max="5" width="20" customWidth="1"/>
    <ns0:col min="6" max="6" width="18" customWidth="1"/>
    <ns0:col min="7" max="7" width="14" customWidth="1"/>
    <ns0:col min="8" max="8" width="12" customWidth="1"/>
    <ns0:col min="9" max="9" width="34" customWidth="1"/>
  </ns0:cols>
  <ns0:sheetData>
    <ns0:row r="1">
      <ns0:c r="A1" s="4" t="inlineStr">
        <ns0:is>
          <ns0:t xml:space="preserve">Параметры по модулям</ns0:t>
        </ns0:is>
      </ns0:c>
    </ns0:row>
    <ns0:row r="2">
      <ns0:c r="A2" s="5" t="inlineStr">
        <ns0:is>
          <ns0:t xml:space="preserve">Столбцы «строк» и «столбцов» — размеры одной матрицы. «Штук» — сколько таких модулей во всей модели.</ns0:t>
        </ns0:is>
      </ns0:c>
    </ns0:row>
    <ns0:row r="4" ht="48" customHeight="1">
      <ns0:c r="A4" s="6" t="inlineStr">
        <ns0:is>
          <ns0:t xml:space="preserve">модуль</ns0:t>
        </ns0:is>
      </ns0:c>
      <ns0:c r="B4" s="6" t="inlineStr">
        <ns0:is>
          <ns0:t xml:space="preserve">штук</ns0:t>
        </ns0:is>
      </ns0:c>
      <ns0:c r="C4" s="6" t="inlineStr">
        <ns0:is>
          <ns0:t xml:space="preserve">строк</ns0:t>
        </ns0:is>
      </ns0:c>
      <ns0:c r="D4" s="6" t="inlineStr">
        <ns0:is>
          <ns0:t xml:space="preserve">столбцов</ns0:t>
        </ns0:is>
      </ns0:c>
      <ns0:c r="E4" s="6" t="inlineStr">
        <ns0:is>
          <ns0:t xml:space="preserve">по формуле
штук × строк × столбцов</ns0:t>
        </ns0:is>
      </ns0:c>
      <ns0:c r="F4" s="6" t="inlineStr">
        <ns0:is>
          <ns0:t xml:space="preserve">по sum(p.numel())</ns0:t>
        </ns0:is>
      </ns0:c>
      <ns0:c r="G4" s="6" t="inlineStr">
        <ns0:is>
          <ns0:t xml:space="preserve">сходится?</ns0:t>
        </ns0:is>
      </ns0:c>
      <ns0:c r="H4" s="6" t="inlineStr">
        <ns0:is>
          <ns0:t xml:space="preserve">доля модели</ns0:t>
        </ns0:is>
      </ns0:c>
      <ns0:c r="I4" s="6" t="inlineStr">
        <ns0:is>
          <ns0:t xml:space="preserve">примечание</ns0:t>
        </ns0:is>
      </ns0:c>
    </ns0:row>
    <ns0:row r="5">
      <ns0:c r="A5" s="7" t="inlineStr">
        <ns0:is>
          <ns0:t xml:space="preserve">embed</ns0:t>
        </ns0:is>
      </ns0:c>
      <ns0:c r="B5" s="8" t="n">
        <ns0:v>1</ns0:v>
      </ns0:c>
      <ns0:c r="C5" s="8" t="n">
        <ns0:v>151936</ns0:v>
      </ns0:c>
      <ns0:c r="D5" s="8" t="n">
        <ns0:v>2048</ns0:v>
      </ns0:c>
      <ns0:c r="E5" s="9" t="n">
        <ns0:f>IF(COUNT(B5:D5)=3,B5*C5*D5,"")</ns0:f>
        <ns0:v>311164928</ns0:v>
      </ns0:c>
      <ns0:c r="F5" s="10" t="n">
        <ns0:v>311164928</ns0:v>
      </ns0:c>
      <ns0:c r="G5" s="11" t="str">
        <ns0:f>IF(E5="","—",IF(E5=F5,"сходится","РАСХОЖДЕНИЕ"))</ns0:f>
        <ns0:v>сходится</ns0:v>
      </ns0:c>
      <ns0:c r="H5" s="12" t="n">
        <ns0:f>IF($F$15=0,"",F5/$F$15)</ns0:f>
        <ns0:v>0.1808493860136206</ns0:v>
      </ns0:c>
      <ns0:c r="I5" s="13" t="inlineStr">
        <ns0:is>
          <ns0:t xml:space="preserve"/>
        </ns0:is>
      </ns0:c>
    </ns0:row>
    <ns0:row r="6">
      <ns0:c r="A6" s="7" t="inlineStr">
        <ns0:is>
          <ns0:t xml:space="preserve">q_proj</ns0:t>
        </ns0:is>
      </ns0:c>
      <ns0:c r="B6" s="8" t="n">
        <ns0:v>28</ns0:v>
      </ns0:c>
      <ns0:c r="C6" s="8" t="n">
        <ns0:v>2048</ns0:v>
      </ns0:c>
      <ns0:c r="D6" s="8" t="n">
        <ns0:v>2048</ns0:v>
      </ns0:c>
      <ns0:c r="E6" s="9" t="n">
        <ns0:f>IF(COUNT(B6:D6)=3,B6*C6*D6,"")</ns0:f>
        <ns0:v>117440512</ns0:v>
      </ns0:c>
      <ns0:c r="F6" s="10" t="n">
        <ns0:v>117440512</ns0:v>
      </ns0:c>
      <ns0:c r="G6" s="11" t="str">
        <ns0:f>IF(E6="","—",IF(E6=F6,"сходится","РАСХОЖДЕНИЕ"))</ns0:f>
        <ns0:v>сходится</ns0:v>
      </ns0:c>
      <ns0:c r="H6" s="12" t="n">
        <ns0:f>IF($F$15=0,"",F6/$F$15)</ns0:f>
        <ns0:v>0.0682565500708526</ns0:v>
      </ns0:c>
      <ns0:c r="I6" s="13" t="inlineStr">
        <ns0:is>
          <ns0:t xml:space="preserve"/>
        </ns0:is>
      </ns0:c>
    </ns0:row>
    <ns0:row r="7">
      <ns0:c r="A7" s="7" t="inlineStr">
        <ns0:is>
          <ns0:t xml:space="preserve">k_proj</ns0:t>
        </ns0:is>
      </ns0:c>
      <ns0:c r="B7" s="8" t="n">
        <ns0:v>28</ns0:v>
      </ns0:c>
      <ns0:c r="C7" s="8" t="n">
        <ns0:v>1024</ns0:v>
      </ns0:c>
      <ns0:c r="D7" s="8" t="n">
        <ns0:v>2048</ns0:v>
      </ns0:c>
      <ns0:c r="E7" s="9" t="n">
        <ns0:f>IF(COUNT(B7:D7)=3,B7*C7*D7,"")</ns0:f>
        <ns0:v>58720256</ns0:v>
      </ns0:c>
      <ns0:c r="F7" s="10" t="n">
        <ns0:v>58720256</ns0:v>
      </ns0:c>
      <ns0:c r="G7" s="11" t="str">
        <ns0:f>IF(E7="","—",IF(E7=F7,"сходится","РАСХОЖДЕНИЕ"))</ns0:f>
        <ns0:v>сходится</ns0:v>
      </ns0:c>
      <ns0:c r="H7" s="12" t="n">
        <ns0:f>IF($F$15=0,"",F7/$F$15)</ns0:f>
        <ns0:v>0.0341282750354263</ns0:v>
      </ns0:c>
      <ns0:c r="I7" s="13" t="inlineStr">
        <ns0:is>
          <ns0:t xml:space="preserve"/>
        </ns0:is>
      </ns0:c>
    </ns0:row>
    <ns0:row r="8">
      <ns0:c r="A8" s="7" t="inlineStr">
        <ns0:is>
          <ns0:t xml:space="preserve">v_proj</ns0:t>
        </ns0:is>
      </ns0:c>
      <ns0:c r="B8" s="8" t="n">
        <ns0:v>28</ns0:v>
      </ns0:c>
      <ns0:c r="C8" s="8" t="n">
        <ns0:v>1024</ns0:v>
      </ns0:c>
      <ns0:c r="D8" s="8" t="n">
        <ns0:v>2048</ns0:v>
      </ns0:c>
      <ns0:c r="E8" s="9" t="n">
        <ns0:f>IF(COUNT(B8:D8)=3,B8*C8*D8,"")</ns0:f>
        <ns0:v>58720256</ns0:v>
      </ns0:c>
      <ns0:c r="F8" s="10" t="n">
        <ns0:v>58720256</ns0:v>
      </ns0:c>
      <ns0:c r="G8" s="11" t="str">
        <ns0:f>IF(E8="","—",IF(E8=F8,"сходится","РАСХОЖДЕНИЕ"))</ns0:f>
        <ns0:v>сходится</ns0:v>
      </ns0:c>
      <ns0:c r="H8" s="12" t="n">
        <ns0:f>IF($F$15=0,"",F8/$F$15)</ns0:f>
        <ns0:v>0.0341282750354263</ns0:v>
      </ns0:c>
      <ns0:c r="I8" s="13" t="inlineStr">
        <ns0:is>
          <ns0:t xml:space="preserve"/>
        </ns0:is>
      </ns0:c>
    </ns0:row>
    <ns0:row r="9">
      <ns0:c r="A9" s="7" t="inlineStr">
        <ns0:is>
          <ns0:t xml:space="preserve">o_proj</ns0:t>
        </ns0:is>
      </ns0:c>
      <ns0:c r="B9" s="8" t="n">
        <ns0:v>28</ns0:v>
      </ns0:c>
      <ns0:c r="C9" s="8" t="n">
        <ns0:v>2048</ns0:v>
      </ns0:c>
      <ns0:c r="D9" s="8" t="n">
        <ns0:v>2048</ns0:v>
      </ns0:c>
      <ns0:c r="E9" s="9" t="n">
        <ns0:f>IF(COUNT(B9:D9)=3,B9*C9*D9,"")</ns0:f>
        <ns0:v>117440512</ns0:v>
      </ns0:c>
      <ns0:c r="F9" s="10" t="n">
        <ns0:v>117440512</ns0:v>
      </ns0:c>
      <ns0:c r="G9" s="11" t="str">
        <ns0:f>IF(E9="","—",IF(E9=F9,"сходится","РАСХОЖДЕНИЕ"))</ns0:f>
        <ns0:v>сходится</ns0:v>
      </ns0:c>
      <ns0:c r="H9" s="12" t="n">
        <ns0:f>IF($F$15=0,"",F9/$F$15)</ns0:f>
        <ns0:v>0.0682565500708526</ns0:v>
      </ns0:c>
      <ns0:c r="I9" s="13" t="inlineStr">
        <ns0:is>
          <ns0:t xml:space="preserve"/>
        </ns0:is>
      </ns0:c>
    </ns0:row>
    <ns0:row r="10">
      <ns0:c r="A10" s="7" t="inlineStr">
        <ns0:is>
          <ns0:t xml:space="preserve">gate_proj</ns0:t>
        </ns0:is>
      </ns0:c>
      <ns0:c r="B10" s="8" t="n">
        <ns0:v>28</ns0:v>
      </ns0:c>
      <ns0:c r="C10" s="8" t="n">
        <ns0:v>6144</ns0:v>
      </ns0:c>
      <ns0:c r="D10" s="8" t="n">
        <ns0:v>2048</ns0:v>
      </ns0:c>
      <ns0:c r="E10" s="9" t="n">
        <ns0:f>IF(COUNT(B10:D10)=3,B10*C10*D10,"")</ns0:f>
        <ns0:v>352321536</ns0:v>
      </ns0:c>
      <ns0:c r="F10" s="10" t="n">
        <ns0:v>352321536</ns0:v>
      </ns0:c>
      <ns0:c r="G10" s="11" t="str">
        <ns0:f>IF(E10="","—",IF(E10=F10,"сходится","РАСХОЖДЕНИЕ"))</ns0:f>
        <ns0:v>сходится</ns0:v>
      </ns0:c>
      <ns0:c r="H10" s="12" t="n">
        <ns0:f>IF($F$15=0,"",F10/$F$15)</ns0:f>
        <ns0:v>0.20476965021255777</ns0:v>
      </ns0:c>
      <ns0:c r="I10" s="13" t="inlineStr">
        <ns0:is>
          <ns0:t xml:space="preserve"/>
        </ns0:is>
      </ns0:c>
    </ns0:row>
    <ns0:row r="11">
      <ns0:c r="A11" s="7" t="inlineStr">
        <ns0:is>
          <ns0:t xml:space="preserve">up_proj</ns0:t>
        </ns0:is>
      </ns0:c>
      <ns0:c r="B11" s="8" t="n">
        <ns0:v>28</ns0:v>
      </ns0:c>
      <ns0:c r="C11" s="8" t="n">
        <ns0:v>6144</ns0:v>
      </ns0:c>
      <ns0:c r="D11" s="8" t="n">
        <ns0:v>2048</ns0:v>
      </ns0:c>
      <ns0:c r="E11" s="9" t="n">
        <ns0:f>IF(COUNT(B11:D11)=3,B11*C11*D11,"")</ns0:f>
        <ns0:v>352321536</ns0:v>
      </ns0:c>
      <ns0:c r="F11" s="10" t="n">
        <ns0:v>352321536</ns0:v>
      </ns0:c>
      <ns0:c r="G11" s="11" t="str">
        <ns0:f>IF(E11="","—",IF(E11=F11,"сходится","РАСХОЖДЕНИЕ"))</ns0:f>
        <ns0:v>сходится</ns0:v>
      </ns0:c>
      <ns0:c r="H11" s="12" t="n">
        <ns0:f>IF($F$15=0,"",F11/$F$15)</ns0:f>
        <ns0:v>0.20476965021255777</ns0:v>
      </ns0:c>
      <ns0:c r="I11" s="13" t="inlineStr">
        <ns0:is>
          <ns0:t xml:space="preserve"/>
        </ns0:is>
      </ns0:c>
    </ns0:row>
    <ns0:row r="12">
      <ns0:c r="A12" s="7" t="inlineStr">
        <ns0:is>
          <ns0:t xml:space="preserve">down_proj</ns0:t>
        </ns0:is>
      </ns0:c>
      <ns0:c r="B12" s="8" t="n">
        <ns0:v>28</ns0:v>
      </ns0:c>
      <ns0:c r="C12" s="8" t="n">
        <ns0:v>2048</ns0:v>
      </ns0:c>
      <ns0:c r="D12" s="8" t="n">
        <ns0:v>6144</ns0:v>
      </ns0:c>
      <ns0:c r="E12" s="9" t="n">
        <ns0:f>IF(COUNT(B12:D12)=3,B12*C12*D12,"")</ns0:f>
        <ns0:v>352321536</ns0:v>
      </ns0:c>
      <ns0:c r="F12" s="10" t="n">
        <ns0:v>352321536</ns0:v>
      </ns0:c>
      <ns0:c r="G12" s="11" t="str">
        <ns0:f>IF(E12="","—",IF(E12=F12,"сходится","РАСХОЖДЕНИЕ"))</ns0:f>
        <ns0:v>сходится</ns0:v>
      </ns0:c>
      <ns0:c r="H12" s="12" t="n">
        <ns0:f>IF($F$15=0,"",F12/$F$15)</ns0:f>
        <ns0:v>0.20476965021255777</ns0:v>
      </ns0:c>
      <ns0:c r="I12" s="13" t="inlineStr">
        <ns0:is>
          <ns0:t xml:space="preserve"/>
        </ns0:is>
      </ns0:c>
    </ns0:row>
    <ns0:row r="13" ht="64" customHeight="1">
      <ns0:c r="A13" s="7" t="inlineStr">
        <ns0:is>
          <ns0:t xml:space="preserve">norm</ns0:t>
        </ns0:is>
      </ns0:c>
      <ns0:c r="B13" s="8" t="n">
        <ns0:v>1</ns0:v>
      </ns0:c>
      <ns0:c r="C13" s="8" t="n">
        <ns0:v>123904</ns0:v>
      </ns0:c>
      <ns0:c r="D13" s="8" t="n">
        <ns0:v>1</ns0:v>
      </ns0:c>
      <ns0:c r="E13" s="9" t="n">
        <ns0:f>IF(COUNT(B13:D13)=3,B13*C13*D13,"")</ns0:f>
        <ns0:v>123904</ns0:v>
      </ns0:c>
      <ns0:c r="F13" s="10" t="n">
        <ns0:v>123904</ns0:v>
      </ns0:c>
      <ns0:c r="G13" s="11" t="str">
        <ns0:f>IF(E13="","—",IF(E13=F13,"сходится","РАСХОЖДЕНИЕ"))</ns0:f>
        <ns0:v>сходится</ns0:v>
      </ns0:c>
      <ns0:c r="H13" s="12" t="n">
        <ns0:f>IF($F$15=0,"",F13/$F$15)</ns0:f>
        <ns0:v>0.00007201313614827327</ns0:v>
      </ns0:c>
      <ns0:c r="I13" s="25" t="str">
        <ns0:v>Свод 113 векторов: 57×2048 + 56×128. B=1 означает одну агрегированную строку, а не один модуль.</ns0:v>
      </ns0:c>
    </ns0:row>
    <ns0:row r="14" ht="64" customHeight="1">
      <ns0:c r="A14" s="7" t="inlineStr">
        <ns0:is>
          <ns0:t xml:space="preserve">lm_head</ns0:t>
        </ns0:is>
      </ns0:c>
      <ns0:c r="B14" s="8" t="n">
        <ns0:v>0</ns0:v>
      </ns0:c>
      <ns0:c r="C14" s="8" t="n">
        <ns0:v>151936</ns0:v>
      </ns0:c>
      <ns0:c r="D14" s="8" t="n">
        <ns0:v>2048</ns0:v>
      </ns0:c>
      <ns0:c r="E14" s="9" t="n">
        <ns0:f>IF(COUNT(B14:D14)=3,B14*C14*D14,"")</ns0:f>
        <ns0:v>0</ns0:v>
      </ns0:c>
      <ns0:c r="F14" s="10" t="n">
        <ns0:v>0</ns0:v>
      </ns0:c>
      <ns0:c r="G14" s="11" t="str">
        <ns0:f>IF(E14="","—",IF(E14=F14,"сходится","РАСХОЖДЕНИЕ"))</ns0:f>
        <ns0:v>сходится</ns0:v>
      </ns0:c>
      <ns0:c r="H14" s="12" t="n">
        <ns0:f>IF($F$15=0,"",F14/$F$15)</ns0:f>
        <ns0:v>0</ns0:v>
      </ns0:c>
      <ns0:c r="I14" s="25" t="str">
        <ns0:v>0 собственных матриц; один lm_head разделяет 151936×2048 с embedding.</ns0:v>
      </ns0:c>
    </ns0:row>
    <ns0:row r="15">
      <ns0:c r="A15" s="14" t="inlineStr">
        <ns0:is>
          <ns0:t xml:space="preserve">ИТОГО</ns0:t>
        </ns0:is>
      </ns0:c>
      <ns0:c r="F15" s="15" t="n">
        <ns0:f>SUM(F5:F14)</ns0:f>
        <ns0:v>1720574976</ns0:v>
      </ns0:c>
      <ns0:c r="H15" s="12" t="n">
        <ns0:f>IF(F15=0,"",F15/F15)</ns0:f>
        <ns0:v>1</ns0:v>
      </ns0:c>
    </ns0:row>
    <ns0:row r="17">
      <ns0:c r="A17" s="14" t="inlineStr">
        <ns0:is>
          <ns0:t xml:space="preserve">params_total из отчёта</ns0:t>
        </ns0:is>
      </ns0:c>
      <ns0:c r="F17" s="10" t="n">
        <ns0:v>1720574976</ns0:v>
      </ns0:c>
    </ns0:row>
    <ns0:row r="18">
      <ns0:c r="A18" s="14" t="inlineStr">
        <ns0:is>
          <ns0:t xml:space="preserve">сумма сошлась?</ns0:t>
        </ns0:is>
      </ns0:c>
      <ns0:c r="F18" s="11" t="str">
        <ns0:f>IF(F17="","заполните",IF(F15=F17,"да, сходится","НЕ СХОДИТСЯ"))</ns0:f>
        <ns0:v>да, сходится</ns0:v>
      </ns0:c>
    </ns0:row>
  </ns0:sheetData>
  <ns0:conditionalFormatting sqref="G5:G14">
    <ns0:cfRule type="expression" dxfId="0" priority="1">
      <ns0:formula>EXACT(G5,"РАСХОЖДЕНИЕ")</ns0:formula>
    </ns0:cfRule>
    <ns0:cfRule type="expression" dxfId="1" priority="3">
      <ns0:formula>EXACT(G5,"сходится")</ns0:formula>
    </ns0:cfRule>
  </ns0:conditionalFormatting>
  <ns0:conditionalFormatting sqref="F18:F18">
    <ns0:cfRule type="expression" dxfId="0" priority="2">
      <ns0:formula>EXACT(F18,"НЕ СХОДИТСЯ")</ns0:formula>
    </ns0:cfRule>
    <ns0:cfRule type="expression" dxfId="1" priority="4">
      <ns0:formula>EXACT(F18,"да, сходится")</ns0:formula>
    </ns0:cfRule>
  </ns0:conditionalFormatting>
  <ns0:pageMargins left="0.7" right="0.7" top="0.75" bottom="0.75" header="0.3" footer="0.3"/>
</ns0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48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2048</x:v>
      </x:c>
      <x:c r="D8" s="8" t="n">
        <x:v>2048</x:v>
      </x:c>
      <x:c r="E8" s="9" t="n">
        <x:f>IF(OR(F8&lt;&gt;"да",COUNT(B8:D8)&lt;3),0,$B$4*(C8+D8)*B8)</x:f>
        <x:v>917504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2048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2048</x:v>
      </x:c>
      <x:c r="D10" s="8" t="n">
        <x:v>1024</x:v>
      </x:c>
      <x:c r="E10" s="9" t="n">
        <x:f>IF(OR(F10&lt;&gt;"да",COUNT(B10:D10)&lt;3),0,$B$4*(C10+D10)*B10)</x:f>
        <x:v>688128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2048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2048</x:v>
      </x:c>
      <x:c r="D12" s="8" t="n">
        <x:v>6144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2048</x:v>
      </x:c>
      <x:c r="D13" s="8" t="n">
        <x:v>6144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6144</x:v>
      </x:c>
      <x:c r="D14" s="8" t="n">
        <x:v>2048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1605632</x:v>
      </x:c>
    </x:row>
    <x:row r="16">
      <x:c r="A16" s="14" t="inlineStr">
        <x:is>
          <x:t xml:space="preserve">что показал peft</x:t>
        </x:is>
      </x:c>
      <x:c r="E16" s="10" t="n">
        <x:v>1605632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1720574976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0.0009331950204999378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str">
        <x:v>пик, МиБ</x:v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4907.7</x:v>
      </x:c>
      <x:c r="C5" s="19" t="n">
        <x:f>IF($B$5="","",B5/$B$5)</x:f>
        <x:v>1</x:v>
      </x:c>
      <x:c r="D5" s="20" t="n">
        <x:v>2.8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15028.5</x:v>
      </x:c>
      <x:c r="C6" s="19" t="n">
        <x:f>IF($B$5="","",B6/$B$5)</x:f>
        <x:v>3.062228742588178</x:v>
      </x:c>
      <x:c r="D6" s="20" t="n">
        <x:v>3.6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5652.5</x:v>
      </x:c>
      <x:c r="C7" s="19" t="n">
        <x:f>IF($B$5="","",B7/$B$5)</x:f>
        <x:v>1.151761517615176</x:v>
      </x:c>
      <x:c r="D7" s="20" t="n">
        <x:v>3.1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1720574976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str">
        <x:v>веса модели, МиБ</x:v>
      </x:c>
    </x:row>
    <x:row r="14">
      <x:c r="A14" s="21" t="n"/>
      <x:c r="B14" s="9" t="n">
        <x:f>IF(COUNT(B10:B11)&lt;2,"",B10*B11/1048576)</x:f>
        <x:v>3281.736328125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 ht="32" customHeight="1">
      <x:c r="A17" s="28" t="inlineStr">
        <x:is>
          <x:t xml:space="preserve">устройство (cpu / cuda / mps)</x:t>
        </x:is>
      </x:c>
      <x:c r="B17" s="26" t="str">
        <x:v>mps</x:v>
      </x:c>
      <x:c r="C17" s="27"/>
      <x:c r="D17" s="27"/>
      <x:c r="E17" s="27"/>
    </x:row>
    <x:row r="18" ht="46" customHeight="1">
      <x:c r="A18" s="28" t="inlineStr">
        <x:is>
          <x:t xml:space="preserve">чем меряли память</x:t>
        </x:is>
      </x:c>
      <x:c r="B18" s="26" t="str">
        <x:v>torch.mps.driver_allocated_memory (максимум, шаг 10 мс)</x:v>
      </x:c>
      <x:c r="C18" s="27"/>
      <x:c r="D18" s="27"/>
      <x:c r="E18" s="27"/>
    </x:row>
    <x:row r="19">
      <x:c r="A19" s="28" t="inlineStr">
        <x:is>
          <x:t xml:space="preserve">dtype</x:t>
        </x:is>
      </x:c>
      <x:c r="B19" s="26" t="str">
        <x:v>bfloat16</x:v>
      </x:c>
      <x:c r="C19" s="27"/>
      <x:c r="D19" s="27"/>
      <x:c r="E19" s="27"/>
    </x:row>
    <x:row r="20">
      <x:c r="A20" s="28" t="inlineStr">
        <x:is>
          <x:t xml:space="preserve">seq_len</x:t>
        </x:is>
      </x:c>
      <x:c r="B20" s="26" t="n">
        <x:v>256</x:v>
      </x:c>
      <x:c r="C20" s="27"/>
      <x:c r="D20" s="27"/>
      <x:c r="E20" s="27"/>
    </x:row>
    <x:row r="21">
      <x:c r="A21" s="28" t="inlineStr">
        <x:is>
          <x:t xml:space="preserve">batch_size</x:t>
        </x:is>
      </x:c>
      <x:c r="B21" s="26" t="n">
        <x:v>1</x:v>
      </x:c>
      <x:c r="C21" s="27"/>
      <x:c r="D21" s="27"/>
      <x:c r="E21" s="27"/>
    </x:row>
    <x:row r="22" ht="32" customHeight="1">
      <x:c r="A22" s="28" t="inlineStr">
        <x:is>
          <x:t xml:space="preserve">сколько раз повторяли замер</x:t>
        </x:is>
      </x:c>
      <x:c r="B22" s="26" t="n">
        <x:v>1</x:v>
      </x:c>
      <x:c r="C22" s="27"/>
      <x:c r="D22" s="27"/>
      <x:c r="E22" s="27"/>
    </x:row>
    <x:row r="23" ht="58" customHeight="1">
      <x:c r="A23" s="28" t="inlineStr">
        <x:is>
          <x:t xml:space="preserve">что именно в шаге (forward / +backward / +optimizer)</x:t>
        </x:is>
      </x:c>
      <x:c r="B23" s="26" t="str">
        <x:v>Инференс: forward. Full FT/LoRA: forward + backward + AdamW.step; отдельный процесс, use_cache=False.</x:v>
      </x:c>
      <x:c r="C23" s="27"/>
      <x:c r="D23" s="27"/>
      <x:c r="E23" s="27"/>
    </x:row>
    <x:row r="24">
      <x:c r="A24" s="28" t="inlineStr">
        <x:is>
          <x:t xml:space="preserve">модель</x:t>
        </x:is>
      </x:c>
      <x:c r="B24" s="26" t="str">
        <x:v>Qwen/Qwen3-1.7B</x:v>
      </x:c>
      <x:c r="C24" s="27"/>
      <x:c r="D24" s="27"/>
      <x:c r="E24" s="27"/>
    </x:row>
  </x:sheetData>
  <x:mergeCells>
    <x:mergeCell ref="A13:A14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82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9" t="str">
        <x:v>Собственный вклад lm_head — 0: tie_word_embeddings=True, его 311 164 928 чисел уже учтены в embed. Уникальная сумма — 1 720 574 976.</x:v>
      </x:c>
    </x:row>
    <x:row r="6" ht="82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9" t="str">
        <x:v>GQA использует 8 KV-голов против 16 query-голов при head_dim=128. Поэтому k_proj имеет 1024×2048, q_proj — 2048×2048: 58 720 256 против 117 440 512 параметров.</x:v>
      </x:c>
    </x:row>
    <x:row r="7" ht="82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9" t="str">
        <x:v>MLP содержит три матрицы с intermediate_size=6144: вместе 1 056 964 608 параметров (61,43%). Четыре attention-проекции дают 352 321 536 (20,48%): MLP ровно втрое больше.</x:v>
      </x:c>
    </x:row>
    <x:row r="8" ht="82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9" t="str">
        <x:v>У Qwen3-1.7B доля адаптеров r=8 q/v — 0,0933%; 0,192% в задании относится к Qwen3-0.6B. LoRA убирает градиенты и состояния AdamW для базы: 15028.5 → 5652.5 МиБ; базовые веса и активации остаются.</x:v>
      </x:c>
    </x:row>
    <x:row r="9" ht="82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9" t="str">
        <x:v>Максимум torch.mps.driver_allocated_memory с шагом 10 мс и синхронизацией. Это память Metal с кэшем и буферами MPSGraph; ru_maxrss измеряет процесс и не заменяет метрику MPS. Короткие пики между выборками могут быть пропущены.</x:v>
      </x:c>
    </x:row>
  </x:sheetData>
  <x:pageMargins left="0.7" right="0.7" top="0.75" bottom="0.75" header="0.3" footer="0.3"/>
</x:worksheet>
</file>